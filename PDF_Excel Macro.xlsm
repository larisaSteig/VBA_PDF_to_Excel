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kochmar\Documents\Github\VBA_PDF to Excel\"/>
    </mc:Choice>
  </mc:AlternateContent>
  <xr:revisionPtr revIDLastSave="0" documentId="8_{E306AEB6-A568-4D73-87BE-C877A54B536D}" xr6:coauthVersionLast="31" xr6:coauthVersionMax="31" xr10:uidLastSave="{00000000-0000-0000-0000-000000000000}"/>
  <bookViews>
    <workbookView xWindow="0" yWindow="0" windowWidth="19008" windowHeight="9216" tabRatio="752" xr2:uid="{00000000-000D-0000-FFFF-FFFF00000000}"/>
  </bookViews>
  <sheets>
    <sheet name="Sheet1" sheetId="1" r:id="rId1"/>
  </sheets>
  <definedNames>
    <definedName name="FolderLocation">Sheet1!$AG$3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X4" i="1" l="1"/>
  <c r="X7" i="1" l="1"/>
  <c r="X6" i="1"/>
  <c r="X5" i="1"/>
  <c r="H4" i="1" l="1"/>
  <c r="H7" i="1" l="1"/>
  <c r="H6" i="1"/>
  <c r="AC7" i="1" l="1"/>
  <c r="AC6" i="1"/>
  <c r="AC5" i="1"/>
  <c r="AC4" i="1" l="1"/>
  <c r="G6" i="1" l="1"/>
  <c r="G7" i="1"/>
  <c r="H5" i="1"/>
  <c r="G5" i="1" l="1"/>
  <c r="AD7" i="1" l="1"/>
  <c r="AD6" i="1"/>
  <c r="AD5" i="1"/>
  <c r="AD4" i="1"/>
  <c r="G4" i="1"/>
</calcChain>
</file>

<file path=xl/sharedStrings.xml><?xml version="1.0" encoding="utf-8"?>
<sst xmlns="http://schemas.openxmlformats.org/spreadsheetml/2006/main" count="53" uniqueCount="53">
  <si>
    <t>Fluid</t>
  </si>
  <si>
    <t>Fluid (m3)</t>
  </si>
  <si>
    <t>Proppant (kg)</t>
  </si>
  <si>
    <t>START 
DATE</t>
  </si>
  <si>
    <t>STAGE
START TIME</t>
  </si>
  <si>
    <t>END 
DATE</t>
  </si>
  <si>
    <t>STAGE
END TIME</t>
  </si>
  <si>
    <t>Manned Standby
(hours)</t>
  </si>
  <si>
    <t>ISIP (MPa)</t>
  </si>
  <si>
    <t>From DFR</t>
  </si>
  <si>
    <t>SHIFTING TIME
(minutes)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</si>
  <si>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</si>
  <si>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</si>
  <si>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</si>
  <si>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</si>
  <si>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</si>
  <si>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</si>
  <si>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</si>
  <si>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</si>
  <si>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</si>
  <si>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</si>
  <si>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</si>
  <si>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</si>
  <si>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</si>
  <si>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</si>
  <si>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</si>
  <si>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</si>
  <si>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</si>
  <si>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</si>
  <si>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</si>
  <si>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</si>
  <si>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</si>
  <si>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</si>
  <si>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</si>
  <si>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</si>
  <si>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</si>
  <si>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</si>
  <si>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</si>
  <si>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Milleage (m)</t>
  </si>
  <si>
    <t>Total Time
(hours)</t>
  </si>
  <si>
    <t>FLUID TWO</t>
  </si>
  <si>
    <t>ITEM Number</t>
  </si>
  <si>
    <t>Start
Pressure</t>
  </si>
  <si>
    <t xml:space="preserve">Finish
Pressure </t>
  </si>
  <si>
    <t xml:space="preserve">Average
Pressure </t>
  </si>
  <si>
    <t xml:space="preserve">Maximum
Pressure </t>
  </si>
  <si>
    <t>Minimum
Pressure</t>
  </si>
  <si>
    <t>Average Rate (m3/min)</t>
  </si>
  <si>
    <t>Maximum Rate (m3/min)</t>
  </si>
  <si>
    <t xml:space="preserve"> Minimum Rate (m3/min)</t>
  </si>
  <si>
    <t>one</t>
  </si>
  <si>
    <t>Stage</t>
  </si>
  <si>
    <t>C:\Users\lkochmar\Documents\Github\VBA_PDF to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</si>
</sst>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#,##0.0"/>
    <numFmt numFmtId="166" formatCode="h:mm;@"/>
  </numFmts>
  <fonts count="19" x14ac:knownFonts="1">
    <font>
      <sz val="11"/>
      <color theme="1"/>
      <name val="Calibri"/>
      <family val="2"/>
      <scheme val="minor"/>
    </font>
    <font>
      <b/>
      <sz val="12"/>
      <name val="Arial Narrow"/>
      <family val="2"/>
    </font>
    <font>
      <sz val="12"/>
      <color theme="1"/>
      <name val="Arial Narrow"/>
      <family val="2"/>
    </font>
    <font>
      <b/>
      <i/>
      <sz val="18"/>
      <color theme="0"/>
      <name val="Arial Narrow"/>
      <family val="2"/>
    </font>
    <font>
      <b/>
      <sz val="12"/>
      <color theme="1"/>
      <name val="Arial Narrow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b/>
      <sz val="12"/>
      <color rgb="FFFF0000"/>
      <name val="Arial Narrow"/>
      <family val="2"/>
    </font>
    <font>
      <sz val="12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1"/>
      <color rgb="FF00B050"/>
      <name val="Arial Narrow"/>
      <family val="2"/>
    </font>
    <font>
      <sz val="10"/>
      <color rgb="FF000000"/>
      <name val="Times New Roman"/>
      <family val="1"/>
    </font>
    <font>
      <b/>
      <sz val="16"/>
      <color rgb="FF000000"/>
      <name val="Calibri"/>
      <family val="2"/>
    </font>
    <font>
      <sz val="10"/>
      <color rgb="FF000000"/>
      <name val="Times New Roman"/>
      <family val="1"/>
    </font>
    <font>
      <b/>
      <sz val="11"/>
      <color rgb="FF000000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ck">
        <color theme="0" tint="-0.499984740745262"/>
      </bottom>
      <diagonal/>
    </border>
    <border>
      <left/>
      <right/>
      <top style="medium">
        <color theme="0" tint="-0.499984740745262"/>
      </top>
      <bottom style="thick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ck">
        <color theme="0" tint="-0.499984740745262"/>
      </bottom>
      <diagonal/>
    </border>
  </borders>
  <cellStyleXfs count="9">
    <xf numFmtId="0" fontId="0" fillId="0" borderId="0"/>
    <xf numFmtId="0" fontId="5" fillId="0" borderId="0"/>
    <xf numFmtId="0" fontId="6" fillId="0" borderId="0"/>
    <xf numFmtId="0" fontId="5" fillId="0" borderId="0"/>
    <xf numFmtId="0" fontId="7" fillId="0" borderId="0"/>
    <xf numFmtId="0" fontId="13" fillId="0" borderId="0"/>
    <xf numFmtId="0" fontId="15" fillId="0" borderId="0"/>
    <xf numFmtId="0" fontId="17" fillId="0" borderId="0"/>
    <xf numFmtId="0" fontId="18" fillId="0" borderId="0"/>
  </cellStyleXfs>
  <cellXfs count="33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2" xfId="0" applyNumberFormat="1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164" fontId="9" fillId="0" borderId="1" xfId="0" applyNumberFormat="1" applyFont="1" applyFill="1" applyBorder="1" applyAlignment="1">
      <alignment horizontal="center" vertical="center"/>
    </xf>
    <xf numFmtId="0" fontId="10" fillId="0" borderId="0" xfId="0" applyFont="1"/>
    <xf numFmtId="0" fontId="11" fillId="0" borderId="3" xfId="0" applyFont="1" applyBorder="1" applyAlignment="1">
      <alignment horizontal="center" wrapText="1"/>
    </xf>
    <xf numFmtId="14" fontId="10" fillId="0" borderId="1" xfId="0" applyNumberFormat="1" applyFont="1" applyFill="1" applyBorder="1"/>
    <xf numFmtId="166" fontId="10" fillId="0" borderId="1" xfId="0" applyNumberFormat="1" applyFont="1" applyFill="1" applyBorder="1"/>
    <xf numFmtId="2" fontId="12" fillId="0" borderId="1" xfId="0" applyNumberFormat="1" applyFont="1" applyFill="1" applyBorder="1"/>
    <xf numFmtId="45" fontId="12" fillId="0" borderId="1" xfId="0" applyNumberFormat="1" applyFont="1" applyFill="1" applyBorder="1"/>
    <xf numFmtId="165" fontId="10" fillId="0" borderId="1" xfId="0" applyNumberFormat="1" applyFont="1" applyFill="1" applyBorder="1"/>
    <xf numFmtId="2" fontId="4" fillId="0" borderId="2" xfId="0" applyNumberFormat="1" applyFont="1" applyFill="1" applyBorder="1" applyAlignment="1">
      <alignment horizontal="center" vertical="center" wrapText="1"/>
    </xf>
    <xf numFmtId="2" fontId="2" fillId="0" borderId="1" xfId="0" applyNumberFormat="1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>
      <alignment horizontal="center" vertical="center" wrapText="1"/>
    </xf>
    <xf numFmtId="3" fontId="9" fillId="0" borderId="1" xfId="0" applyNumberFormat="1" applyFont="1" applyFill="1" applyBorder="1" applyAlignment="1">
      <alignment horizontal="center" vertical="center"/>
    </xf>
    <xf numFmtId="14" fontId="10" fillId="0" borderId="1" xfId="0" applyNumberFormat="1" applyFont="1" applyFill="1" applyBorder="1" applyAlignment="1"/>
    <xf numFmtId="0" fontId="10" fillId="4" borderId="4" xfId="0" applyFont="1" applyFill="1" applyBorder="1" applyAlignment="1"/>
    <xf numFmtId="0" fontId="10" fillId="4" borderId="5" xfId="0" applyFont="1" applyFill="1" applyBorder="1" applyAlignment="1"/>
    <xf numFmtId="0" fontId="10" fillId="4" borderId="6" xfId="0" applyFont="1" applyFill="1" applyBorder="1" applyAlignment="1"/>
    <xf numFmtId="0" fontId="1" fillId="0" borderId="1" xfId="0" applyFont="1" applyBorder="1" applyAlignment="1">
      <alignment horizontal="center" vertical="top"/>
    </xf>
  </cellXfs>
  <cellStyles count="9">
    <cellStyle name="Normal" xfId="0" builtinId="0"/>
    <cellStyle name="Normal 2" xfId="3" xr:uid="{00000000-0005-0000-0000-000002000000}"/>
    <cellStyle name="Normal 2 3" xfId="1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  <cellStyle name="Normal 6" xfId="2" xr:uid="{00000000-0005-0000-0000-000007000000}"/>
    <cellStyle name="Normal 7" xfId="7" xr:uid="{00000000-0005-0000-0000-000008000000}"/>
    <cellStyle name="Normal 8" xfId="8" xr:uid="{00000000-0005-0000-0000-000009000000}"/>
  </cellStyles>
  <dxfs count="37">
    <dxf>
      <font>
        <color rgb="FFFB8989"/>
      </font>
      <fill>
        <patternFill>
          <bgColor rgb="FFFB8989"/>
        </patternFill>
      </fill>
    </dxf>
    <dxf>
      <font>
        <color rgb="FFFB8989"/>
      </font>
      <fill>
        <patternFill>
          <bgColor rgb="FFFB8989"/>
        </patternFill>
      </fill>
    </dxf>
    <dxf>
      <font>
        <color rgb="FFFB8989"/>
      </font>
      <fill>
        <patternFill>
          <bgColor rgb="FFFB8989"/>
        </patternFill>
      </fill>
    </dxf>
    <dxf>
      <font>
        <color rgb="FFFB8989"/>
      </font>
      <fill>
        <patternFill>
          <bgColor rgb="FFFB8989"/>
        </patternFill>
      </fill>
    </dxf>
    <dxf>
      <font>
        <strike val="0"/>
        <outline val="0"/>
        <shadow val="0"/>
        <u val="none"/>
        <vertAlign val="baseline"/>
        <name val="Arial Narrow"/>
        <scheme val="none"/>
      </font>
      <numFmt numFmtId="2" formatCode="0.00"/>
    </dxf>
    <dxf>
      <font>
        <strike val="0"/>
        <outline val="0"/>
        <shadow val="0"/>
        <u val="none"/>
        <vertAlign val="baseline"/>
        <name val="Arial Narrow"/>
        <scheme val="none"/>
      </font>
      <numFmt numFmtId="165" formatCode="#,##0.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 Narrow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 Narrow"/>
        <scheme val="none"/>
      </font>
      <numFmt numFmtId="28" formatCode="mm:ss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 Narrow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h: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66" formatCode="h:mm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theme="4"/>
        </bottom>
      </border>
    </dxf>
    <dxf>
      <font>
        <strike val="0"/>
        <outline val="0"/>
        <shadow val="0"/>
        <u val="none"/>
        <vertAlign val="baseline"/>
        <name val="Arial Narrow"/>
        <scheme val="none"/>
      </font>
    </dxf>
    <dxf>
      <font>
        <strike val="0"/>
        <outline val="0"/>
        <shadow val="0"/>
        <u val="none"/>
        <vertAlign val="baseline"/>
        <name val="Arial Narrow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17" Type="http://schemas.microsoft.com/office/2017/10/relationships/person" Target="persons/perso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365760</xdr:rowOff>
        </xdr:from>
        <xdr:to>
          <xdr:col>1</xdr:col>
          <xdr:colOff>0</xdr:colOff>
          <xdr:row>2</xdr:row>
          <xdr:rowOff>7620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0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594360</xdr:colOff>
          <xdr:row>3</xdr:row>
          <xdr:rowOff>160020</xdr:rowOff>
        </xdr:from>
        <xdr:to>
          <xdr:col>33</xdr:col>
          <xdr:colOff>609600</xdr:colOff>
          <xdr:row>5</xdr:row>
          <xdr:rowOff>0</xdr:rowOff>
        </xdr:to>
        <xdr:sp macro="" textlink="">
          <xdr:nvSpPr>
            <xdr:cNvPr id="9234" name="Button 18" descr="Browse Folder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0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Folder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ri Saripalli" id="{E3EE6A11-9373-49AE-B321-6C89D25149F6}" userId="S::HSaripalli@slb.com::28167e4d-a017-4066-ad82-d982a803092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AE7" totalsRowShown="0" headerRowDxfId="36" dataDxfId="35">
  <autoFilter ref="A1:AE7" xr:uid="{00000000-0009-0000-0100-000002000000}"/>
  <tableColumns count="31">
    <tableColumn id="1" xr3:uid="{00000000-0010-0000-0000-000001000000}" name="Column1" dataDxfId="34"/>
    <tableColumn id="2" xr3:uid="{00000000-0010-0000-0000-000002000000}" name="Column2" dataDxfId="33"/>
    <tableColumn id="3" xr3:uid="{00000000-0010-0000-0000-000003000000}" name="Column3" dataDxfId="32"/>
    <tableColumn id="4" xr3:uid="{00000000-0010-0000-0000-000004000000}" name="Column4" dataDxfId="31"/>
    <tableColumn id="5" xr3:uid="{00000000-0010-0000-0000-000005000000}" name="Column5" dataDxfId="30"/>
    <tableColumn id="6" xr3:uid="{00000000-0010-0000-0000-000006000000}" name="Column6" dataDxfId="29"/>
    <tableColumn id="7" xr3:uid="{00000000-0010-0000-0000-000007000000}" name="Column7" dataDxfId="28">
      <calculatedColumnFormula>IF(F2="",0,ROUNDUP(HOUR(24+F2-D2)+(MINUTE(24+F2-D2))/60,2))</calculatedColumnFormula>
    </tableColumn>
    <tableColumn id="8" xr3:uid="{00000000-0010-0000-0000-000008000000}" name="From DFR" dataDxfId="27">
      <calculatedColumnFormula>(D2-F1)</calculatedColumnFormula>
    </tableColumn>
    <tableColumn id="9" xr3:uid="{00000000-0010-0000-0000-000009000000}" name="Column8" dataDxfId="26"/>
    <tableColumn id="10" xr3:uid="{00000000-0010-0000-0000-00000A000000}" name="Column9" dataDxfId="25"/>
    <tableColumn id="11" xr3:uid="{00000000-0010-0000-0000-00000B000000}" name="Column10" dataDxfId="24"/>
    <tableColumn id="12" xr3:uid="{00000000-0010-0000-0000-00000C000000}" name="Column11" dataDxfId="23"/>
    <tableColumn id="13" xr3:uid="{00000000-0010-0000-0000-00000D000000}" name="Column12" dataDxfId="22"/>
    <tableColumn id="14" xr3:uid="{00000000-0010-0000-0000-00000E000000}" name="Column13" dataDxfId="21"/>
    <tableColumn id="15" xr3:uid="{00000000-0010-0000-0000-00000F000000}" name="Column14" dataDxfId="20"/>
    <tableColumn id="16" xr3:uid="{00000000-0010-0000-0000-000010000000}" name="Column15" dataDxfId="19"/>
    <tableColumn id="17" xr3:uid="{00000000-0010-0000-0000-000011000000}" name="Column16" dataDxfId="18"/>
    <tableColumn id="18" xr3:uid="{00000000-0010-0000-0000-000012000000}" name="Column17" dataDxfId="17"/>
    <tableColumn id="19" xr3:uid="{00000000-0010-0000-0000-000013000000}" name="Column18" dataDxfId="16"/>
    <tableColumn id="20" xr3:uid="{00000000-0010-0000-0000-000014000000}" name="Column19" dataDxfId="15"/>
    <tableColumn id="21" xr3:uid="{00000000-0010-0000-0000-000015000000}" name="Fluid (m3)" dataDxfId="14"/>
    <tableColumn id="22" xr3:uid="{00000000-0010-0000-0000-000016000000}" name="Column20" dataDxfId="13"/>
    <tableColumn id="23" xr3:uid="{00000000-0010-0000-0000-000017000000}" name="Column21" dataDxfId="12"/>
    <tableColumn id="24" xr3:uid="{00000000-0010-0000-0000-000018000000}" name="Column22" dataDxfId="11"/>
    <tableColumn id="25" xr3:uid="{00000000-0010-0000-0000-000019000000}" name="Proppant (kg)" dataDxfId="10"/>
    <tableColumn id="26" xr3:uid="{00000000-0010-0000-0000-00001A000000}" name="Column23" dataDxfId="9"/>
    <tableColumn id="27" xr3:uid="{00000000-0010-0000-0000-00001B000000}" name="Column24" dataDxfId="8"/>
    <tableColumn id="28" xr3:uid="{00000000-0010-0000-0000-00001C000000}" name="Column25" dataDxfId="7">
      <calculatedColumnFormula>Y2+Z2</calculatedColumnFormula>
    </tableColumn>
    <tableColumn id="29" xr3:uid="{00000000-0010-0000-0000-00001D000000}" name="Fluid" dataDxfId="6"/>
    <tableColumn id="30" xr3:uid="{00000000-0010-0000-0000-00001E000000}" name="Column26" dataDxfId="5"/>
    <tableColumn id="31" xr3:uid="{00000000-0010-0000-0000-00001F000000}" name="Column27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Data"/>
  <dimension ref="A1:AN7"/>
  <sheetViews>
    <sheetView tabSelected="1" topLeftCell="A2" zoomScale="90" zoomScaleNormal="90" workbookViewId="0">
      <pane xSplit="1" ySplit="1" topLeftCell="J3" activePane="bottomRight" state="frozen"/>
      <selection activeCell="A2" sqref="A2"/>
      <selection pane="topRight" activeCell="B2" sqref="B2"/>
      <selection pane="bottomLeft" activeCell="A3" sqref="A3"/>
      <selection pane="bottomRight" activeCell="N14" sqref="N14"/>
    </sheetView>
  </sheetViews>
  <sheetFormatPr defaultColWidth="9.109375" defaultRowHeight="13.8" x14ac:dyDescent="0.25"/>
  <cols>
    <col min="1" max="1" width="15.6640625" style="17" customWidth="1"/>
    <col min="2" max="7" width="11" style="17" customWidth="1"/>
    <col min="8" max="8" width="17.33203125" style="17" hidden="1" customWidth="1"/>
    <col min="9" max="9" width="11" style="17" hidden="1" customWidth="1"/>
    <col min="10" max="10" width="11" style="17" customWidth="1"/>
    <col min="11" max="15" width="14.5546875" style="17" bestFit="1" customWidth="1"/>
    <col min="16" max="16" width="12" style="17" hidden="1" customWidth="1"/>
    <col min="17" max="17" width="14.44140625" style="17" bestFit="1" customWidth="1"/>
    <col min="18" max="19" width="12" style="17" customWidth="1"/>
    <col min="20" max="20" width="12" style="17" hidden="1" customWidth="1"/>
    <col min="21" max="24" width="12.109375" style="17" hidden="1" customWidth="1"/>
    <col min="25" max="25" width="15.109375" style="17" hidden="1" customWidth="1"/>
    <col min="26" max="28" width="17.33203125" style="17" hidden="1" customWidth="1"/>
    <col min="29" max="31" width="12" style="17" hidden="1" customWidth="1"/>
    <col min="32" max="16384" width="9.109375" style="17"/>
  </cols>
  <sheetData>
    <row r="1" spans="1:40" ht="23.4" x14ac:dyDescent="0.25">
      <c r="A1" s="17" t="s">
        <v>11</v>
      </c>
      <c r="B1" s="17" t="s">
        <v>12</v>
      </c>
      <c r="C1" s="17" t="s">
        <v>13</v>
      </c>
      <c r="D1" s="17" t="s">
        <v>14</v>
      </c>
      <c r="E1" s="17" t="s">
        <v>15</v>
      </c>
      <c r="F1" s="17" t="s">
        <v>16</v>
      </c>
      <c r="G1" s="17" t="s">
        <v>17</v>
      </c>
      <c r="H1" s="18" t="s">
        <v>9</v>
      </c>
      <c r="I1" s="18" t="s">
        <v>18</v>
      </c>
      <c r="J1" s="17" t="s">
        <v>19</v>
      </c>
      <c r="K1" s="17" t="s">
        <v>20</v>
      </c>
      <c r="L1" s="17" t="s">
        <v>21</v>
      </c>
      <c r="M1" s="17" t="s">
        <v>22</v>
      </c>
      <c r="N1" s="17" t="s">
        <v>23</v>
      </c>
      <c r="O1" s="17" t="s">
        <v>24</v>
      </c>
      <c r="P1" s="17" t="s">
        <v>25</v>
      </c>
      <c r="Q1" s="17" t="s">
        <v>26</v>
      </c>
      <c r="R1" s="17" t="s">
        <v>27</v>
      </c>
      <c r="S1" s="17" t="s">
        <v>28</v>
      </c>
      <c r="T1" s="17" t="s">
        <v>29</v>
      </c>
      <c r="U1" s="8" t="s">
        <v>1</v>
      </c>
      <c r="V1" s="8" t="s">
        <v>30</v>
      </c>
      <c r="W1" s="8" t="s">
        <v>31</v>
      </c>
      <c r="X1" s="8" t="s">
        <v>32</v>
      </c>
      <c r="Y1" s="9" t="s">
        <v>2</v>
      </c>
      <c r="Z1" s="10" t="s">
        <v>33</v>
      </c>
      <c r="AA1" s="10" t="s">
        <v>34</v>
      </c>
      <c r="AB1" s="10" t="s">
        <v>35</v>
      </c>
      <c r="AC1" s="17" t="s">
        <v>0</v>
      </c>
      <c r="AD1" s="17" t="s">
        <v>36</v>
      </c>
      <c r="AE1" s="17" t="s">
        <v>37</v>
      </c>
    </row>
    <row r="2" spans="1:40" ht="47.4" thickBot="1" x14ac:dyDescent="0.3">
      <c r="A2" s="32" t="s">
        <v>41</v>
      </c>
      <c r="B2" s="1" t="s">
        <v>38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39</v>
      </c>
      <c r="H2" s="6" t="s">
        <v>10</v>
      </c>
      <c r="I2" s="6" t="s">
        <v>7</v>
      </c>
      <c r="J2" s="1" t="s">
        <v>51</v>
      </c>
      <c r="K2" s="2" t="s">
        <v>42</v>
      </c>
      <c r="L2" s="2" t="s">
        <v>43</v>
      </c>
      <c r="M2" s="2" t="s">
        <v>44</v>
      </c>
      <c r="N2" s="2" t="s">
        <v>45</v>
      </c>
      <c r="O2" s="2" t="s">
        <v>46</v>
      </c>
      <c r="P2" s="7" t="s">
        <v>8</v>
      </c>
      <c r="Q2" s="2" t="s">
        <v>47</v>
      </c>
      <c r="R2" s="2" t="s">
        <v>48</v>
      </c>
      <c r="S2" s="2" t="s">
        <v>49</v>
      </c>
      <c r="T2" s="2"/>
      <c r="U2" s="3"/>
      <c r="V2" s="3"/>
      <c r="W2" s="3"/>
      <c r="X2" s="3"/>
      <c r="Y2" s="4"/>
      <c r="Z2" s="4"/>
      <c r="AA2" s="5"/>
      <c r="AB2" s="26"/>
      <c r="AC2" s="5"/>
      <c r="AD2" s="5"/>
      <c r="AE2" s="24"/>
    </row>
    <row r="3" spans="1:40" ht="16.2" thickBot="1" x14ac:dyDescent="0.3">
      <c r="A3" s="11" t="s">
        <v>50</v>
      </c>
      <c r="B3" s="12">
        <v>2499.06</v>
      </c>
      <c r="C3" s="28">
        <v>42305</v>
      </c>
      <c r="D3" s="20">
        <v>0.29991898148148149</v>
      </c>
      <c r="E3" s="19">
        <v>42305</v>
      </c>
      <c r="F3" s="20">
        <v>0.31464120370370369</v>
      </c>
      <c r="G3" s="21">
        <f t="shared" ref="G3:G7" si="0">IF(F3="",0,ROUNDUP(HOUR(24+F3-D3)+(MINUTE(24+F3-D3))/60,2))</f>
        <v>0.35</v>
      </c>
      <c r="H3" s="22"/>
      <c r="I3" s="21"/>
      <c r="J3" s="11" t="s">
        <v>40</v>
      </c>
      <c r="K3" s="12">
        <v>15.4</v>
      </c>
      <c r="L3" s="12">
        <v>26.3</v>
      </c>
      <c r="M3" s="12">
        <v>39.1</v>
      </c>
      <c r="N3" s="12">
        <v>48.6</v>
      </c>
      <c r="O3" s="12">
        <v>35.200000000000003</v>
      </c>
      <c r="P3" s="12"/>
      <c r="Q3" s="12">
        <v>6.7</v>
      </c>
      <c r="R3" s="12">
        <v>6.9</v>
      </c>
      <c r="S3" s="12">
        <v>4.2</v>
      </c>
      <c r="T3" s="15"/>
      <c r="U3" s="12"/>
      <c r="V3" s="12"/>
      <c r="W3" s="12"/>
      <c r="X3" s="12"/>
      <c r="Y3" s="13"/>
      <c r="Z3" s="13">
        <v>0</v>
      </c>
      <c r="AA3" s="13">
        <v>0</v>
      </c>
      <c r="AB3" s="27"/>
      <c r="AC3" s="14"/>
      <c r="AD3" s="23"/>
      <c r="AE3" s="25"/>
      <c r="AG3" s="29" t="s">
        <v>52</v>
      </c>
      <c r="AH3" s="30"/>
      <c r="AI3" s="30"/>
      <c r="AJ3" s="30"/>
      <c r="AK3" s="30"/>
      <c r="AL3" s="30"/>
      <c r="AM3" s="30"/>
      <c r="AN3" s="31"/>
    </row>
    <row r="4" spans="1:40" ht="16.2" thickTop="1" x14ac:dyDescent="0.25">
      <c r="A4" s="11"/>
      <c r="B4" s="12"/>
      <c r="C4" s="28"/>
      <c r="D4" s="20"/>
      <c r="E4" s="19"/>
      <c r="F4" s="20"/>
      <c r="G4" s="21">
        <f t="shared" si="0"/>
        <v>0</v>
      </c>
      <c r="H4" s="22">
        <f>(D4-F3)</f>
        <v>-0.31464120370370369</v>
      </c>
      <c r="I4" s="21"/>
      <c r="J4" s="11"/>
      <c r="K4" s="12"/>
      <c r="L4" s="12"/>
      <c r="M4" s="12"/>
      <c r="N4" s="12"/>
      <c r="O4" s="12"/>
      <c r="P4" s="12"/>
      <c r="Q4" s="12"/>
      <c r="R4" s="12"/>
      <c r="S4" s="12"/>
      <c r="T4" s="15"/>
      <c r="U4" s="12"/>
      <c r="V4" s="12"/>
      <c r="W4" s="16"/>
      <c r="X4" s="12">
        <f>Table2[[#This Row],[Column21]]+Table2[[#This Row],[Fluid (m3)]]</f>
        <v>0</v>
      </c>
      <c r="Y4" s="13"/>
      <c r="Z4" s="13"/>
      <c r="AA4" s="13"/>
      <c r="AB4" s="27"/>
      <c r="AC4" s="14">
        <f>+U4</f>
        <v>0</v>
      </c>
      <c r="AD4" s="23">
        <f t="shared" ref="AD4:AD7" si="1">AC4+15</f>
        <v>15</v>
      </c>
      <c r="AE4" s="25"/>
    </row>
    <row r="5" spans="1:40" ht="15.6" x14ac:dyDescent="0.25">
      <c r="A5" s="11"/>
      <c r="B5" s="12"/>
      <c r="C5" s="28"/>
      <c r="D5" s="20"/>
      <c r="E5" s="19"/>
      <c r="F5" s="20"/>
      <c r="G5" s="21">
        <f t="shared" si="0"/>
        <v>0</v>
      </c>
      <c r="H5" s="22">
        <f>(D5-F4)</f>
        <v>0</v>
      </c>
      <c r="I5" s="21"/>
      <c r="J5" s="11"/>
      <c r="K5" s="12"/>
      <c r="L5" s="12"/>
      <c r="M5" s="12"/>
      <c r="N5" s="12"/>
      <c r="O5" s="12"/>
      <c r="P5" s="12"/>
      <c r="Q5" s="12"/>
      <c r="R5" s="12"/>
      <c r="S5" s="12"/>
      <c r="T5" s="15"/>
      <c r="U5" s="12"/>
      <c r="V5" s="12"/>
      <c r="W5" s="16"/>
      <c r="X5" s="12">
        <f>Table2[[#This Row],[Column21]]+Table2[[#This Row],[Fluid (m3)]]</f>
        <v>0</v>
      </c>
      <c r="Y5" s="13"/>
      <c r="Z5" s="13"/>
      <c r="AA5" s="13"/>
      <c r="AB5" s="27"/>
      <c r="AC5" s="14">
        <f t="shared" ref="AC5:AC7" si="2">+U5</f>
        <v>0</v>
      </c>
      <c r="AD5" s="23">
        <f t="shared" si="1"/>
        <v>15</v>
      </c>
      <c r="AE5" s="25"/>
    </row>
    <row r="6" spans="1:40" ht="15.6" x14ac:dyDescent="0.25">
      <c r="A6" s="11"/>
      <c r="B6" s="12"/>
      <c r="C6" s="28"/>
      <c r="D6" s="20"/>
      <c r="E6" s="19"/>
      <c r="F6" s="20"/>
      <c r="G6" s="21">
        <f t="shared" si="0"/>
        <v>0</v>
      </c>
      <c r="H6" s="22">
        <f t="shared" ref="H6:H7" si="3">(D6-F5)</f>
        <v>0</v>
      </c>
      <c r="I6" s="21"/>
      <c r="J6" s="11"/>
      <c r="K6" s="12"/>
      <c r="L6" s="12"/>
      <c r="M6" s="12"/>
      <c r="N6" s="12"/>
      <c r="O6" s="12"/>
      <c r="P6" s="12"/>
      <c r="Q6" s="12"/>
      <c r="R6" s="12"/>
      <c r="S6" s="12"/>
      <c r="T6" s="15"/>
      <c r="U6" s="12"/>
      <c r="V6" s="12"/>
      <c r="W6" s="12"/>
      <c r="X6" s="12">
        <f>Table2[[#This Row],[Column21]]+Table2[[#This Row],[Fluid (m3)]]</f>
        <v>0</v>
      </c>
      <c r="Y6" s="13"/>
      <c r="Z6" s="13"/>
      <c r="AA6" s="13"/>
      <c r="AB6" s="27"/>
      <c r="AC6" s="14">
        <f t="shared" si="2"/>
        <v>0</v>
      </c>
      <c r="AD6" s="23">
        <f t="shared" si="1"/>
        <v>15</v>
      </c>
      <c r="AE6" s="25"/>
    </row>
    <row r="7" spans="1:40" ht="15.6" x14ac:dyDescent="0.25">
      <c r="A7" s="11"/>
      <c r="B7" s="12"/>
      <c r="C7" s="28"/>
      <c r="D7" s="20"/>
      <c r="E7" s="19"/>
      <c r="F7" s="20"/>
      <c r="G7" s="21">
        <f t="shared" si="0"/>
        <v>0</v>
      </c>
      <c r="H7" s="22">
        <f t="shared" si="3"/>
        <v>0</v>
      </c>
      <c r="I7" s="21"/>
      <c r="J7" s="11"/>
      <c r="K7" s="12"/>
      <c r="L7" s="12"/>
      <c r="M7" s="12"/>
      <c r="N7" s="12"/>
      <c r="O7" s="12"/>
      <c r="P7" s="12"/>
      <c r="Q7" s="12"/>
      <c r="R7" s="12"/>
      <c r="S7" s="12"/>
      <c r="T7" s="15"/>
      <c r="U7" s="12"/>
      <c r="V7" s="12"/>
      <c r="W7" s="12"/>
      <c r="X7" s="12">
        <f>Table2[[#This Row],[Column21]]+Table2[[#This Row],[Fluid (m3)]]</f>
        <v>0</v>
      </c>
      <c r="Y7" s="13"/>
      <c r="Z7" s="13"/>
      <c r="AA7" s="13"/>
      <c r="AB7" s="27"/>
      <c r="AC7" s="14">
        <f t="shared" si="2"/>
        <v>0</v>
      </c>
      <c r="AD7" s="23">
        <f t="shared" si="1"/>
        <v>15</v>
      </c>
      <c r="AE7" s="25"/>
    </row>
  </sheetData>
  <conditionalFormatting sqref="U2:AB2">
    <cfRule type="containsText" dxfId="3" priority="7" operator="containsText" text="Column">
      <formula>NOT(ISERROR(SEARCH("Column",U2)))</formula>
    </cfRule>
  </conditionalFormatting>
  <conditionalFormatting sqref="C2:I2">
    <cfRule type="containsText" dxfId="2" priority="6" operator="containsText" text="Column">
      <formula>NOT(ISERROR(SEARCH("Column",C2)))</formula>
    </cfRule>
  </conditionalFormatting>
  <conditionalFormatting sqref="AC2">
    <cfRule type="containsText" dxfId="1" priority="4" operator="containsText" text="Column">
      <formula>NOT(ISERROR(SEARCH("Column",AC2)))</formula>
    </cfRule>
  </conditionalFormatting>
  <conditionalFormatting sqref="AD2:AE2">
    <cfRule type="containsText" dxfId="0" priority="3" operator="containsText" text="Column">
      <formula>NOT(ISERROR(SEARCH("Column",AD2)))</formula>
    </cfRule>
  </conditionalFormatting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3" r:id="rId4" name="Button 17">
              <controlPr defaultSize="0" print="0" autoFill="0" autoPict="0" macro="[0]!OpenPDF">
                <anchor moveWithCells="1" sizeWithCells="1">
                  <from>
                    <xdr:col>0</xdr:col>
                    <xdr:colOff>0</xdr:colOff>
                    <xdr:row>1</xdr:row>
                    <xdr:rowOff>365760</xdr:rowOff>
                  </from>
                  <to>
                    <xdr:col>1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5" name="Button 18">
              <controlPr defaultSize="0" print="0" autoFill="0" autoPict="0" macro="[0]!GetFolder" altText="Browse Folder">
                <anchor moveWithCells="1" sizeWithCells="1">
                  <from>
                    <xdr:col>31</xdr:col>
                    <xdr:colOff>594360</xdr:colOff>
                    <xdr:row>3</xdr:row>
                    <xdr:rowOff>160020</xdr:rowOff>
                  </from>
                  <to>
                    <xdr:col>33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B1BFCF-A4FF-4BCF-8E86-8555549D5C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FolderLocation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Lundy</dc:creator>
  <cp:lastModifiedBy>Larisa Steigenberger</cp:lastModifiedBy>
  <dcterms:created xsi:type="dcterms:W3CDTF">2017-03-20T14:01:19Z</dcterms:created>
  <dcterms:modified xsi:type="dcterms:W3CDTF">2020-12-13T19:59:17Z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MTittel@slb.com</vt:lpwstr>
  </property>
  <property fmtid="{D5CDD505-2E9C-101B-9397-08002B2CF9AE}" pid="5" name="MSIP_Label_585f1f62-8d2b-4457-869c-0a13c6549635_SetDate">
    <vt:lpwstr>2019-02-04T15:34:01.9826691Z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Extended_MSFT_Method">
    <vt:lpwstr>Automatic</vt:lpwstr>
  </property>
  <property fmtid="{D5CDD505-2E9C-101B-9397-08002B2CF9AE}" pid="9" name="MSIP_Label_8bb759f6-5337-4dc5-b19b-e74b6da11f8f_Enabled">
    <vt:lpwstr>True</vt:lpwstr>
  </property>
  <property fmtid="{D5CDD505-2E9C-101B-9397-08002B2CF9AE}" pid="10" name="MSIP_Label_8bb759f6-5337-4dc5-b19b-e74b6da11f8f_SiteId">
    <vt:lpwstr>41ff26dc-250f-4b13-8981-739be8610c21</vt:lpwstr>
  </property>
  <property fmtid="{D5CDD505-2E9C-101B-9397-08002B2CF9AE}" pid="11" name="MSIP_Label_8bb759f6-5337-4dc5-b19b-e74b6da11f8f_Owner">
    <vt:lpwstr>MTittel@slb.com</vt:lpwstr>
  </property>
  <property fmtid="{D5CDD505-2E9C-101B-9397-08002B2CF9AE}" pid="12" name="MSIP_Label_8bb759f6-5337-4dc5-b19b-e74b6da11f8f_SetDate">
    <vt:lpwstr>2019-02-04T15:34:01.9826691Z</vt:lpwstr>
  </property>
  <property fmtid="{D5CDD505-2E9C-101B-9397-08002B2CF9AE}" pid="13" name="MSIP_Label_8bb759f6-5337-4dc5-b19b-e74b6da11f8f_Name">
    <vt:lpwstr>Internal</vt:lpwstr>
  </property>
  <property fmtid="{D5CDD505-2E9C-101B-9397-08002B2CF9AE}" pid="14" name="MSIP_Label_8bb759f6-5337-4dc5-b19b-e74b6da11f8f_Application">
    <vt:lpwstr>Microsoft Azure Information Protection</vt:lpwstr>
  </property>
  <property fmtid="{D5CDD505-2E9C-101B-9397-08002B2CF9AE}" pid="15" name="MSIP_Label_8bb759f6-5337-4dc5-b19b-e74b6da11f8f_Parent">
    <vt:lpwstr>585f1f62-8d2b-4457-869c-0a13c6549635</vt:lpwstr>
  </property>
  <property fmtid="{D5CDD505-2E9C-101B-9397-08002B2CF9AE}" pid="16" name="MSIP_Label_8bb759f6-5337-4dc5-b19b-e74b6da11f8f_Extended_MSFT_Method">
    <vt:lpwstr>Automatic</vt:lpwstr>
  </property>
  <property fmtid="{D5CDD505-2E9C-101B-9397-08002B2CF9AE}" pid="17" name="Sensitivity">
    <vt:lpwstr>Private Internal</vt:lpwstr>
  </property>
</Properties>
</file>